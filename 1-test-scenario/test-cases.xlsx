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Test Case" state="visible" r:id="rId5"/>
    <sheet sheetId="3" name="Skenario" state="visible" r:id="rId6"/>
    <sheet sheetId="4" name="Laporan Bug" state="visible" r:id="rId7"/>
  </sheets>
  <calcPr calcId="171027"/>
</workbook>
</file>

<file path=xl/sharedStrings.xml><?xml version="1.0" encoding="utf-8"?>
<sst xmlns="http://schemas.openxmlformats.org/spreadsheetml/2006/main" count="624" uniqueCount="286">
  <si>
    <t>Ringkasan test case: Restful-Booker API</t>
  </si>
  <si>
    <t>Angka di bawah dihitung dengan rumus dari sheet 'Test Case', jadi ikut berubah saat status atau kolom lain diubah.</t>
  </si>
  <si>
    <t>Ringkasan</t>
  </si>
  <si>
    <t>Jumlah</t>
  </si>
  <si>
    <t>Status</t>
  </si>
  <si>
    <t>Total test case</t>
  </si>
  <si>
    <t>Lulus</t>
  </si>
  <si>
    <t>Lulus (perilaku terdokumentasi)</t>
  </si>
  <si>
    <t>Gagal</t>
  </si>
  <si>
    <t>Observasi / belum dijalankan</t>
  </si>
  <si>
    <t>Gagal (sudah diketahui)</t>
  </si>
  <si>
    <t>Persentase lulus</t>
  </si>
  <si>
    <t>Observasi</t>
  </si>
  <si>
    <t>Sudah diotomasi (Postman)</t>
  </si>
  <si>
    <t>Belum dijalankan</t>
  </si>
  <si>
    <t>Masih manual</t>
  </si>
  <si>
    <t>Total</t>
  </si>
  <si>
    <t>Jenis</t>
  </si>
  <si>
    <t>Positif</t>
  </si>
  <si>
    <t>Negatif</t>
  </si>
  <si>
    <t>Batas</t>
  </si>
  <si>
    <t>Keamanan</t>
  </si>
  <si>
    <t>Prioritas</t>
  </si>
  <si>
    <t>P1</t>
  </si>
  <si>
    <t>P2</t>
  </si>
  <si>
    <t>P3</t>
  </si>
  <si>
    <t>Sumber: 1-test-scenario/test-cases.csv, test-scenarios.md, dan bug-reports/ di repository. File ini dibuat ulang dengan: npm run sheet</t>
  </si>
  <si>
    <t>ID</t>
  </si>
  <si>
    <t>Skenario</t>
  </si>
  <si>
    <t>Modul</t>
  </si>
  <si>
    <t>Judul</t>
  </si>
  <si>
    <t>Otomasi</t>
  </si>
  <si>
    <t>Folder Postman</t>
  </si>
  <si>
    <t>Prasyarat</t>
  </si>
  <si>
    <t>Langkah</t>
  </si>
  <si>
    <t>Hasil yang Diharapkan</t>
  </si>
  <si>
    <t>Hasil Aktual</t>
  </si>
  <si>
    <t>Bug</t>
  </si>
  <si>
    <t>TC-AUTH-01</t>
  </si>
  <si>
    <t>TS-AUTH-01</t>
  </si>
  <si>
    <t>Auth</t>
  </si>
  <si>
    <t>Login dengan kredensial valid</t>
  </si>
  <si>
    <t>Postman</t>
  </si>
  <si>
    <t>1. Auth</t>
  </si>
  <si>
    <t>API aktif</t>
  </si>
  <si>
    <t>POST /auth dengan {username:admin,password:password123}</t>
  </si>
  <si>
    <t>200 dan token tidak kosong</t>
  </si>
  <si>
    <t>200 dan token dikembalikan</t>
  </si>
  <si>
    <t/>
  </si>
  <si>
    <t>TC-AUTH-02</t>
  </si>
  <si>
    <t>TS-AUTH-02</t>
  </si>
  <si>
    <t>Login dengan password salah</t>
  </si>
  <si>
    <t xml:space="preserve">1. Auth
7. Known defects / 7.1 Auth</t>
  </si>
  <si>
    <t>POST /auth dengan password yang salah</t>
  </si>
  <si>
    <t>401 dan tidak ada token</t>
  </si>
  <si>
    <t>200 dengan {reason:Bad credentials} dan tidak ada token (lihat BUG-006)</t>
  </si>
  <si>
    <t>BUG-006</t>
  </si>
  <si>
    <t>TC-AUTH-03</t>
  </si>
  <si>
    <t>TS-AUTH-03</t>
  </si>
  <si>
    <t>Login dengan body kosong</t>
  </si>
  <si>
    <t>POST /auth dengan {}</t>
  </si>
  <si>
    <t>4xx dan tidak ada token</t>
  </si>
  <si>
    <t>TC-CRT-01</t>
  </si>
  <si>
    <t>TS-CRT-01</t>
  </si>
  <si>
    <t>Booking</t>
  </si>
  <si>
    <t>Membuat booking dengan data valid</t>
  </si>
  <si>
    <t>2. Booking - Create</t>
  </si>
  <si>
    <t>Header Accept diset</t>
  </si>
  <si>
    <t>POST /booking dengan body valid yang lengkap</t>
  </si>
  <si>
    <t>200 dan bookingid; respons mengembalikan data yang dikirim</t>
  </si>
  <si>
    <t>200; bookingid dikembalikan dan data sesuai</t>
  </si>
  <si>
    <t>TC-CRT-02</t>
  </si>
  <si>
    <t>TS-CRT-07</t>
  </si>
  <si>
    <t>Membuat booking tanpa header Accept</t>
  </si>
  <si>
    <t>Tidak ada</t>
  </si>
  <si>
    <t>POST /booking tanpa Accept: application/json</t>
  </si>
  <si>
    <t>Permintaan tetap diproses atau 4xx yang jelas</t>
  </si>
  <si>
    <t>418 I'm a teapot</t>
  </si>
  <si>
    <t>TC-CRT-03</t>
  </si>
  <si>
    <t>TS-CRT-03</t>
  </si>
  <si>
    <t>Membuat booking dengan field wajib hilang</t>
  </si>
  <si>
    <t>POST /booking dengan {firstname:OnlyName}</t>
  </si>
  <si>
    <t>400 Bad Request</t>
  </si>
  <si>
    <t>500 Internal Server Error (lihat BUG-005)</t>
  </si>
  <si>
    <t>BUG-005</t>
  </si>
  <si>
    <t>TC-CRT-04</t>
  </si>
  <si>
    <t>TS-CRT-02</t>
  </si>
  <si>
    <t>Membuat booking tanpa additionalneeds (opsional)</t>
  </si>
  <si>
    <t>POST /booking tanpa additionalneeds</t>
  </si>
  <si>
    <t>200 dan bookingid</t>
  </si>
  <si>
    <t>TC-CRT-05</t>
  </si>
  <si>
    <t>TS-CRT-04</t>
  </si>
  <si>
    <t>Membuat booking dengan totalprice negatif</t>
  </si>
  <si>
    <t>Postman (folder defect)</t>
  </si>
  <si>
    <t>7. Known defects / 7.2 Booking - Create</t>
  </si>
  <si>
    <t>POST /booking dengan totalprice -100</t>
  </si>
  <si>
    <t>Ditolak dengan 4xx</t>
  </si>
  <si>
    <t>200; booking tersimpan dengan -100 (lihat BUG-001)</t>
  </si>
  <si>
    <t>BUG-001</t>
  </si>
  <si>
    <t>TC-CRT-06</t>
  </si>
  <si>
    <t>Membuat booking dengan checkout sebelum checkin</t>
  </si>
  <si>
    <t>POST /booking dengan checkin 2026-11-10 dan checkout 2026-11-01</t>
  </si>
  <si>
    <t>200; booking tersimpan (lihat BUG-002)</t>
  </si>
  <si>
    <t>BUG-002</t>
  </si>
  <si>
    <t>TC-CRT-07</t>
  </si>
  <si>
    <t>TS-CRT-06</t>
  </si>
  <si>
    <t>Membuat booking dengan firstname kosong</t>
  </si>
  <si>
    <t>POST /booking dengan firstname kosong</t>
  </si>
  <si>
    <t>200; booking tersimpan dengan nama kosong (lihat BUG-003)</t>
  </si>
  <si>
    <t>BUG-003</t>
  </si>
  <si>
    <t>TC-CRT-08</t>
  </si>
  <si>
    <t>TS-CRT-05</t>
  </si>
  <si>
    <t>Membuat booking dengan totalprice bukan angka</t>
  </si>
  <si>
    <t>POST /booking dengan totalprice abc</t>
  </si>
  <si>
    <t>200; totalprice tersimpan sebagai null (lihat BUG-004)</t>
  </si>
  <si>
    <t>BUG-004</t>
  </si>
  <si>
    <t>TC-CRT-09</t>
  </si>
  <si>
    <t>Membuat booking dengan format tanggal salah</t>
  </si>
  <si>
    <t>POST /booking dengan checkin not-a-date</t>
  </si>
  <si>
    <t>200; checkin tersimpan sebagai 0NaN-aN-aN (lihat BUG-004)</t>
  </si>
  <si>
    <t>TC-CRT-10</t>
  </si>
  <si>
    <t>Membuat booking dengan HTML/script di firstname</t>
  </si>
  <si>
    <t>Manual</t>
  </si>
  <si>
    <t>-</t>
  </si>
  <si>
    <t>POST /booking dengan firstname &lt;script&gt;alert(1)&lt;/script&gt;</t>
  </si>
  <si>
    <t>Input disanitasi atau ditolak</t>
  </si>
  <si>
    <t>200; nilai tersimpan dan dikembalikan apa adanya (hanya API; berisiko jika ditampilkan oleh UI)</t>
  </si>
  <si>
    <t>TC-CRT-11</t>
  </si>
  <si>
    <t>Membuat booking dengan lastname 10.000 karakter</t>
  </si>
  <si>
    <t>POST /booking dengan lastname yang sangat panjang</t>
  </si>
  <si>
    <t>Ditolak atau dipotong dengan pesan yang jelas</t>
  </si>
  <si>
    <t>Belum dieksekusi</t>
  </si>
  <si>
    <t>TC-GET-01</t>
  </si>
  <si>
    <t>TS-GET-01</t>
  </si>
  <si>
    <t>Mengambil booking berdasarkan id</t>
  </si>
  <si>
    <t>3. Booking - Read</t>
  </si>
  <si>
    <t>Booking sudah ada</t>
  </si>
  <si>
    <t>GET /booking/{id}</t>
  </si>
  <si>
    <t>200 dan body sesuai schema</t>
  </si>
  <si>
    <t>200; schema valid</t>
  </si>
  <si>
    <t>TC-GET-02</t>
  </si>
  <si>
    <t>TS-GET-02</t>
  </si>
  <si>
    <t>Mengambil booking yang tidak ada</t>
  </si>
  <si>
    <t>GET /booking/999999999</t>
  </si>
  <si>
    <t>404</t>
  </si>
  <si>
    <t>TC-GET-03</t>
  </si>
  <si>
    <t>Mengambil booking dengan id bukan angka</t>
  </si>
  <si>
    <t>GET /booking/abc</t>
  </si>
  <si>
    <t>400 atau 404</t>
  </si>
  <si>
    <t>TC-GET-04</t>
  </si>
  <si>
    <t>TS-GET-03</t>
  </si>
  <si>
    <t>Menampilkan daftar semua booking</t>
  </si>
  <si>
    <t>GET /booking</t>
  </si>
  <si>
    <t>200 dan array berisi {bookingid}</t>
  </si>
  <si>
    <t>200; array dikembalikan</t>
  </si>
  <si>
    <t>TC-GET-05</t>
  </si>
  <si>
    <t>TS-GET-04</t>
  </si>
  <si>
    <t>Memfilter booking berdasarkan firstname</t>
  </si>
  <si>
    <t>Ada booking dengan firstname Laila</t>
  </si>
  <si>
    <t>GET /booking?firstname=Laila</t>
  </si>
  <si>
    <t>200 dan hasil memuat booking tersebut</t>
  </si>
  <si>
    <t>200; booking ikut tampil</t>
  </si>
  <si>
    <t>TC-GET-06</t>
  </si>
  <si>
    <t>Memfilter booking berdasarkan tanggal checkin</t>
  </si>
  <si>
    <t>GET /booking?checkin=2026-11-01</t>
  </si>
  <si>
    <t>200 dan booking dengan checkin pada atau setelah tanggal itu</t>
  </si>
  <si>
    <t>TC-UPD-01</t>
  </si>
  <si>
    <t>TS-UPD-01</t>
  </si>
  <si>
    <t>Update penuh (PUT) dengan token valid</t>
  </si>
  <si>
    <t>4. Booking - Update</t>
  </si>
  <si>
    <t>Token dan booking valid</t>
  </si>
  <si>
    <t>PUT /booking/{id} dengan Cookie token dan body lengkap</t>
  </si>
  <si>
    <t>200 dan semua field diganti</t>
  </si>
  <si>
    <t>200; field diganti</t>
  </si>
  <si>
    <t>TC-UPD-02</t>
  </si>
  <si>
    <t>TS-UPD-03</t>
  </si>
  <si>
    <t>PUT tanpa token</t>
  </si>
  <si>
    <t>PUT /booking/{id} tanpa Cookie</t>
  </si>
  <si>
    <t>403</t>
  </si>
  <si>
    <t>TC-UPD-03</t>
  </si>
  <si>
    <t>PUT dengan token tidak valid</t>
  </si>
  <si>
    <t>PUT /booking/{id} dengan Cookie token=invalid-token</t>
  </si>
  <si>
    <t>TC-UPD-04</t>
  </si>
  <si>
    <t>TS-UPD-02</t>
  </si>
  <si>
    <t>Update sebagian (PATCH)</t>
  </si>
  <si>
    <t>PATCH /booking/{id} dengan {firstname:Patched}</t>
  </si>
  <si>
    <t>200; hanya firstname yang berubah</t>
  </si>
  <si>
    <t>TC-UPD-05</t>
  </si>
  <si>
    <t>PATCH tanpa token</t>
  </si>
  <si>
    <t>PATCH /booking/{id} tanpa Cookie</t>
  </si>
  <si>
    <t>TC-DEL-01</t>
  </si>
  <si>
    <t>TS-DEL-02</t>
  </si>
  <si>
    <t>Hapus tanpa token</t>
  </si>
  <si>
    <t>5. Booking - Delete</t>
  </si>
  <si>
    <t>DELETE /booking/{id} tanpa Cookie</t>
  </si>
  <si>
    <t>403 dan booking tetap ada</t>
  </si>
  <si>
    <t>TC-DEL-02</t>
  </si>
  <si>
    <t>TS-DEL-01</t>
  </si>
  <si>
    <t>Hapus dengan token valid</t>
  </si>
  <si>
    <t>DELETE /booking/{id} dengan Cookie</t>
  </si>
  <si>
    <t>200 atau 204</t>
  </si>
  <si>
    <t>201 Created (lihat BUG-007)</t>
  </si>
  <si>
    <t>BUG-007</t>
  </si>
  <si>
    <t>TC-DEL-03</t>
  </si>
  <si>
    <t>Booking yang sudah dihapus tidak bisa diambil</t>
  </si>
  <si>
    <t>Booking sudah dihapus</t>
  </si>
  <si>
    <t>TC-DEL-04</t>
  </si>
  <si>
    <t>TS-DEL-03</t>
  </si>
  <si>
    <t>Menghapus booking yang sama dua kali</t>
  </si>
  <si>
    <t>Booking sudah dihapus sebelumnya</t>
  </si>
  <si>
    <t>DELETE /booking/{id} lagi</t>
  </si>
  <si>
    <t>405 Method Not Allowed (lihat BUG-007)</t>
  </si>
  <si>
    <t>Area</t>
  </si>
  <si>
    <t>Jenis / Alat</t>
  </si>
  <si>
    <t>TS-AUTH - Autentikasi (POST /auth)</t>
  </si>
  <si>
    <t>Pengguna dengan kredensial valid menerima token</t>
  </si>
  <si>
    <t>Pengguna dengan kredensial salah tidak menerima token</t>
  </si>
  <si>
    <t>Permintaan tanpa kredensial tidak menerima token</t>
  </si>
  <si>
    <t>TS-CRT - Membuat booking (POST /booking)</t>
  </si>
  <si>
    <t>Booking dengan semua field valid berhasil dibuat dan id dikembalikan</t>
  </si>
  <si>
    <t>Booking tanpa field opsional berhasil dibuat</t>
  </si>
  <si>
    <t>Permintaan dengan field wajib yang hilang ditolak dengan error dari sisi client</t>
  </si>
  <si>
    <t>Nilai field di luar rentang valid (harga negatif, checkout sebelum checkin) ditolak</t>
  </si>
  <si>
    <t>Batas / negatif</t>
  </si>
  <si>
    <t>Tipe data yang salah dan format tanggal yang rusak ditolak</t>
  </si>
  <si>
    <t>Teks kosong / sangat panjang / berisi karakter khusus ditangani dengan aman</t>
  </si>
  <si>
    <t>Batas / keamanan</t>
  </si>
  <si>
    <t>Permintaan ditolak ketika header Accept tidak ada</t>
  </si>
  <si>
    <t>TS-GET - Membaca booking (GET /booking, GET /booking/{id})</t>
  </si>
  <si>
    <t>Booking yang ada bisa diambil berdasarkan id dan sesuai schema</t>
  </si>
  <si>
    <t>Id yang tidak ada atau formatnya salah mengembalikan 404</t>
  </si>
  <si>
    <t>Daftar booking mengembalikan id</t>
  </si>
  <si>
    <t>Daftar bisa difilter berdasarkan nama dan tanggal</t>
  </si>
  <si>
    <t>TS-UPD - Mengubah booking (PUT, PATCH /booking/{id})</t>
  </si>
  <si>
    <t>Pengguna yang terautentikasi bisa mengganti seluruh isi booking</t>
  </si>
  <si>
    <t>Pengguna yang terautentikasi bisa mengubah sebagian field saja</t>
  </si>
  <si>
    <t>Permintaan tanpa token atau dengan token tidak valid ditolak</t>
  </si>
  <si>
    <t>TS-DEL - Menghapus booking (DELETE /booking/{id})</t>
  </si>
  <si>
    <t>Pengguna yang terautentikasi bisa menghapus booking, dan booking itu tidak bisa diambil lagi</t>
  </si>
  <si>
    <t>Penghapusan tanpa autentikasi ditolak</t>
  </si>
  <si>
    <t>Menghapus booking yang sudah tidak ada ditangani dengan wajar</t>
  </si>
  <si>
    <t>TS-E2E-01</t>
  </si>
  <si>
    <t>TS-E2E - Alur end-to-end</t>
  </si>
  <si>
    <t>Login -&gt; buat booking -&gt; baca -&gt; ubah -&gt; ubah sebagian -&gt; hapus -&gt; pastikan sudah hilang (folder Postman 1-5 dijalankan berurutan)</t>
  </si>
  <si>
    <t>TS-NFR-01</t>
  </si>
  <si>
    <t>TS-NFR - Non-fungsional</t>
  </si>
  <si>
    <t>Endpoint utama merespons dalam waktu kurang dari 2 detik untuk satu pengguna</t>
  </si>
  <si>
    <t>Assertion Postman</t>
  </si>
  <si>
    <t>TS-NFR-02</t>
  </si>
  <si>
    <t>Dengan 10 pengguna bersamaan, latensi p95 dan tingkat error tetap dalam threshold</t>
  </si>
  <si>
    <t>Load test k6</t>
  </si>
  <si>
    <t>TS-NFR-03</t>
  </si>
  <si>
    <t>Perilaku saat beban dinaikkan melewati tingkat normal (mencari titik jenuh)</t>
  </si>
  <si>
    <t>Stress test k6</t>
  </si>
  <si>
    <t>ID Bug</t>
  </si>
  <si>
    <t>Severity</t>
  </si>
  <si>
    <t>Test case terkait</t>
  </si>
  <si>
    <t>Hasil yang diharapkan</t>
  </si>
  <si>
    <t>Hasil aktual</t>
  </si>
  <si>
    <t>Laporan</t>
  </si>
  <si>
    <t>Booking menerima totalprice negatif</t>
  </si>
  <si>
    <t>Major</t>
  </si>
  <si>
    <t>Terbuka</t>
  </si>
  <si>
    <t>400 Bad Request dengan pesan bahwa totalprice harus nol atau lebih besar.</t>
  </si>
  <si>
    <t>200 OK; booking tersimpan dengan "totalprice": -100.</t>
  </si>
  <si>
    <t>Lihat laporan</t>
  </si>
  <si>
    <t>Booking menerima tanggal checkout lebih awal dari checkin</t>
  </si>
  <si>
    <t>400 Bad Request: checkout harus setelah checkin.</t>
  </si>
  <si>
    <t>200 OK; booking tersimpan dengan checkout sembilan hari sebelum checkin.</t>
  </si>
  <si>
    <t>Booking menerima firstname kosong</t>
  </si>
  <si>
    <t>Minor</t>
  </si>
  <si>
    <t>POST /booking dengan "firstname": "" -&gt; 200 OK, booking tersimpan dengan nama kosong.</t>
  </si>
  <si>
    <t>Harga bukan angka dan format tanggal salah diam-diam rusak (null, 0NaN-aN-aN)</t>
  </si>
  <si>
    <t>TC-CRT-08, TC-CRT-09</t>
  </si>
  <si>
    <t>400 Bad Request yang menjelaskan field yang tidak valid.</t>
  </si>
  <si>
    <t>Keduanya mengembalikan 200 OK dan datanya rusak tanpa pemberitahuan:</t>
  </si>
  <si>
    <t>Field wajib yang hilang menyebabkan 500 Internal Server Error, bukan 400</t>
  </si>
  <si>
    <t>400 Bad Request yang menyebutkan field wajib yang hilang (lastname, totalprice, depositpaid, bookingdates).</t>
  </si>
  <si>
    <t>500 Internal Server Error dengan body yang generik.</t>
  </si>
  <si>
    <t>Login gagal mengembalikan 200 OK, bukan 401</t>
  </si>
  <si>
    <t>TC-AUTH-02, TC-AUTH-03</t>
  </si>
  <si>
    <t>401 Unauthorized.</t>
  </si>
  <si>
    <t>200 OK dengan body {"reason":"Bad credentials"} (tanpa token). Body kosong {} menghasilkan perilaku yang sama.</t>
  </si>
  <si>
    <t>Status code hapus tidak konsisten: berhasil mengembalikan 201, hapus ulang mengembalikan 405 (seharusnya 204/200 dan 404)</t>
  </si>
  <si>
    <t>TC-DEL-02, TC-DEL-04</t>
  </si>
  <si>
    <t>DELETE /booking/{id} dengan token valid -&gt; 201 Created; permintaan yang sama diulang -&gt; 405 Method Not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</si>
</sst>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0F1D3A"/>
      <sz val="16"/>
      <name val="Arial"/>
    </font>
    <font>
      <i/>
      <color rgb="FF5A6783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b/>
      <color rgb="FFB42323"/>
      <sz val="10"/>
      <name val="Arial"/>
    </font>
    <font>
      <u/>
      <color rgb="FF1D4FC7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1D3A"/>
      </patternFill>
    </fill>
    <fill>
      <patternFill patternType="solid">
        <fgColor rgb="FFEAF1FF"/>
      </patternFill>
    </fill>
  </fills>
  <borders count="2">
    <border>
      <left/>
      <right/>
      <top/>
      <bottom/>
      <diagonal/>
    </border>
    <border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ont>
        <color rgb="FF1D6A36"/>
      </font>
      <fill>
        <patternFill patternType="solid">
          <bgColor rgb="FFDDF3E4"/>
        </patternFill>
      </fill>
    </dxf>
    <dxf>
      <font>
        <color rgb="FFB42323"/>
      </font>
      <fill>
        <patternFill patternType="solid">
          <bgColor rgb="FFFBE0E0"/>
        </patternFill>
      </fill>
    </dxf>
    <dxf>
      <font>
        <color rgb="FF8A5A00"/>
      </font>
      <fill>
        <patternFill patternType="solid">
          <bgColor rgb="FFFFF1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lailatulbadriyah24/qa-portfolio/blob/main/1-test-scenario/bug-reports/BUG-001-negative-price.md" TargetMode="External"/><Relationship Id="rId2" Type="http://schemas.openxmlformats.org/officeDocument/2006/relationships/hyperlink" Target="https://github.com/lailatulbadriyah24/qa-portfolio/blob/main/1-test-scenario/bug-reports/BUG-002-checkout-before-checkin.md" TargetMode="External"/><Relationship Id="rId3" Type="http://schemas.openxmlformats.org/officeDocument/2006/relationships/hyperlink" Target="https://github.com/lailatulbadriyah24/qa-portfolio/blob/main/1-test-scenario/bug-reports/BUG-004-invalid-types-and-dates.md" TargetMode="External"/><Relationship Id="rId4" Type="http://schemas.openxmlformats.org/officeDocument/2006/relationships/hyperlink" Target="https://github.com/lailatulbadriyah24/qa-portfolio/blob/main/1-test-scenario/bug-reports/BUG-005-missing-fields-500.md" TargetMode="External"/><Relationship Id="rId5" Type="http://schemas.openxmlformats.org/officeDocument/2006/relationships/hyperlink" Target="https://github.com/lailatulbadriyah24/qa-portfolio/blob/main/1-test-scenario/bug-reports/BUG-006-failed-login-200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6E8"/>
  </sheetPr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2" customWidth="1"/>
    <col min="3" max="3" width="4" customWidth="1"/>
    <col min="4" max="4" width="30" customWidth="1"/>
    <col min="5" max="5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B4" s="3" t="s">
        <v>3</v>
      </c>
      <c r="D4" s="3" t="s">
        <v>4</v>
      </c>
      <c r="E4" s="3" t="s">
        <v>3</v>
      </c>
    </row>
    <row r="5" spans="1:5" x14ac:dyDescent="0.25">
      <c r="A5" s="4" t="s">
        <v>5</v>
      </c>
      <c r="B5" s="5">
        <f>COUNTA('Test Case'!$A$2:$A$200)</f>
        <v>29</v>
      </c>
      <c r="D5" s="4" t="s">
        <v>6</v>
      </c>
      <c r="E5" s="5">
        <f>COUNTIF('Test Case'!$G$2:$G$200,D5)</f>
        <v>16</v>
      </c>
    </row>
    <row r="6" spans="1:5" x14ac:dyDescent="0.25">
      <c r="A6" s="4" t="s">
        <v>6</v>
      </c>
      <c r="B6" s="5">
        <f>COUNTIF('Test Case'!$G$2:$G$200,"Lulus*")</f>
        <v>18</v>
      </c>
      <c r="D6" s="4" t="s">
        <v>7</v>
      </c>
      <c r="E6" s="5">
        <f>COUNTIF('Test Case'!$G$2:$G$200,D6)</f>
        <v>2</v>
      </c>
    </row>
    <row r="7" spans="1:5" x14ac:dyDescent="0.25">
      <c r="A7" s="4" t="s">
        <v>8</v>
      </c>
      <c r="B7" s="5">
        <f>COUNTIF('Test Case'!$G$2:$G$200,"Gagal*")</f>
        <v>9</v>
      </c>
      <c r="D7" s="4" t="s">
        <v>8</v>
      </c>
      <c r="E7" s="5">
        <f>COUNTIF('Test Case'!$G$2:$G$200,D7)</f>
        <v>5</v>
      </c>
    </row>
    <row r="8" spans="1:5" x14ac:dyDescent="0.25">
      <c r="A8" s="4" t="s">
        <v>9</v>
      </c>
      <c r="B8" s="5">
        <f>B5-B6-B7</f>
        <v>2</v>
      </c>
      <c r="D8" s="4" t="s">
        <v>10</v>
      </c>
      <c r="E8" s="5">
        <f>COUNTIF('Test Case'!$G$2:$G$200,D8)</f>
        <v>4</v>
      </c>
    </row>
    <row r="9" spans="1:5" x14ac:dyDescent="0.25">
      <c r="A9" s="4" t="s">
        <v>11</v>
      </c>
      <c r="B9" s="6">
        <f>IF(B5=0,0,B6/B5)</f>
        <v>0.6206896551724138</v>
      </c>
      <c r="D9" s="4" t="s">
        <v>12</v>
      </c>
      <c r="E9" s="5">
        <f>COUNTIF('Test Case'!$G$2:$G$200,D9)</f>
        <v>1</v>
      </c>
    </row>
    <row r="10" spans="1:5" x14ac:dyDescent="0.25">
      <c r="A10" s="4" t="s">
        <v>13</v>
      </c>
      <c r="B10" s="5">
        <f>COUNTIF('Test Case'!$H$2:$H$200,"Postman*")</f>
        <v>26</v>
      </c>
      <c r="D10" s="4" t="s">
        <v>14</v>
      </c>
      <c r="E10" s="5">
        <f>COUNTIF('Test Case'!$G$2:$G$200,D10)</f>
        <v>1</v>
      </c>
    </row>
    <row r="11" spans="1:5" x14ac:dyDescent="0.25">
      <c r="A11" s="4" t="s">
        <v>15</v>
      </c>
      <c r="B11" s="5">
        <f>COUNTIF('Test Case'!$H$2:$H$200,"Manual")</f>
        <v>3</v>
      </c>
      <c r="D11" s="7" t="s">
        <v>16</v>
      </c>
      <c r="E11" s="8">
        <f>SUM(E5:E10)</f>
        <v>29</v>
      </c>
    </row>
    <row r="13" spans="1:2" x14ac:dyDescent="0.25">
      <c r="A13" s="3" t="s">
        <v>17</v>
      </c>
      <c r="B13" s="3" t="s">
        <v>3</v>
      </c>
    </row>
    <row r="14" spans="1:2" x14ac:dyDescent="0.25">
      <c r="A14" s="4" t="s">
        <v>18</v>
      </c>
      <c r="B14" s="5">
        <f>COUNTIF('Test Case'!$E$2:$E$200,A14)</f>
        <v>11</v>
      </c>
    </row>
    <row r="15" spans="1:2" x14ac:dyDescent="0.25">
      <c r="A15" s="4" t="s">
        <v>19</v>
      </c>
      <c r="B15" s="5">
        <f>COUNTIF('Test Case'!$E$2:$E$200,A15)</f>
        <v>9</v>
      </c>
    </row>
    <row r="16" spans="1:2" x14ac:dyDescent="0.25">
      <c r="A16" s="4" t="s">
        <v>20</v>
      </c>
      <c r="B16" s="5">
        <f>COUNTIF('Test Case'!$E$2:$E$200,A16)</f>
        <v>4</v>
      </c>
    </row>
    <row r="17" spans="1:2" x14ac:dyDescent="0.25">
      <c r="A17" s="4" t="s">
        <v>21</v>
      </c>
      <c r="B17" s="5">
        <f>COUNTIF('Test Case'!$E$2:$E$200,A17)</f>
        <v>5</v>
      </c>
    </row>
    <row r="19" spans="1:2" x14ac:dyDescent="0.25">
      <c r="A19" s="3" t="s">
        <v>22</v>
      </c>
      <c r="B19" s="3" t="s">
        <v>3</v>
      </c>
    </row>
    <row r="20" spans="1:2" x14ac:dyDescent="0.25">
      <c r="A20" s="4" t="s">
        <v>23</v>
      </c>
      <c r="B20" s="5">
        <f>COUNTIF('Test Case'!$F$2:$F$200,A20)</f>
        <v>19</v>
      </c>
    </row>
    <row r="21" spans="1:2" x14ac:dyDescent="0.25">
      <c r="A21" s="4" t="s">
        <v>24</v>
      </c>
      <c r="B21" s="5">
        <f>COUNTIF('Test Case'!$F$2:$F$200,A21)</f>
        <v>6</v>
      </c>
    </row>
    <row r="22" spans="1:2" x14ac:dyDescent="0.25">
      <c r="A22" s="4" t="s">
        <v>25</v>
      </c>
      <c r="B22" s="5">
        <f>COUNTIF('Test Case'!$F$2:$F$200,A22)</f>
        <v>4</v>
      </c>
    </row>
    <row r="25" spans="1:1" x14ac:dyDescent="0.25">
      <c r="A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D3A"/>
    <pageSetUpPr fitToPage="1"/>
  </sheetPr>
  <dimension ref="A1:N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style="9" customWidth="1"/>
    <col min="2" max="2" width="13" customWidth="1"/>
    <col min="3" max="3" width="10" customWidth="1"/>
    <col min="4" max="4" width="38" customWidth="1"/>
    <col min="5" max="5" width="11" customWidth="1"/>
    <col min="6" max="6" width="10" customWidth="1"/>
    <col min="7" max="7" width="28" customWidth="1"/>
    <col min="8" max="8" width="24" customWidth="1"/>
    <col min="9" max="9" width="34" customWidth="1"/>
    <col min="10" max="10" width="22" customWidth="1"/>
    <col min="11" max="11" width="42" customWidth="1"/>
    <col min="12" max="12" width="34" customWidth="1"/>
    <col min="13" max="13" width="44" customWidth="1"/>
    <col min="14" max="14" width="12" customWidth="1"/>
  </cols>
  <sheetData>
    <row r="1" ht="24" customHeight="1" spans="1:14" x14ac:dyDescent="0.25">
      <c r="A1" s="10" t="s">
        <v>27</v>
      </c>
      <c r="B1" s="11" t="s">
        <v>28</v>
      </c>
      <c r="C1" s="11" t="s">
        <v>29</v>
      </c>
      <c r="D1" s="11" t="s">
        <v>30</v>
      </c>
      <c r="E1" s="11" t="s">
        <v>17</v>
      </c>
      <c r="F1" s="11" t="s">
        <v>22</v>
      </c>
      <c r="G1" s="11" t="s">
        <v>4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</row>
    <row r="2" spans="1:14" x14ac:dyDescent="0.25">
      <c r="A2" s="12" t="s">
        <v>38</v>
      </c>
      <c r="B2" s="13" t="s">
        <v>39</v>
      </c>
      <c r="C2" s="13" t="s">
        <v>40</v>
      </c>
      <c r="D2" s="13" t="s">
        <v>41</v>
      </c>
      <c r="E2" s="13" t="s">
        <v>18</v>
      </c>
      <c r="F2" s="13" t="s">
        <v>23</v>
      </c>
      <c r="G2" s="13" t="s">
        <v>6</v>
      </c>
      <c r="H2" s="13" t="s">
        <v>42</v>
      </c>
      <c r="I2" s="13" t="s">
        <v>43</v>
      </c>
      <c r="J2" s="13" t="s">
        <v>44</v>
      </c>
      <c r="K2" s="13" t="s">
        <v>45</v>
      </c>
      <c r="L2" s="13" t="s">
        <v>46</v>
      </c>
      <c r="M2" s="13" t="s">
        <v>47</v>
      </c>
      <c r="N2" s="13" t="s">
        <v>48</v>
      </c>
    </row>
    <row r="3" spans="1:14" x14ac:dyDescent="0.25">
      <c r="A3" s="12" t="s">
        <v>49</v>
      </c>
      <c r="B3" s="13" t="s">
        <v>50</v>
      </c>
      <c r="C3" s="13" t="s">
        <v>40</v>
      </c>
      <c r="D3" s="13" t="s">
        <v>51</v>
      </c>
      <c r="E3" s="13" t="s">
        <v>19</v>
      </c>
      <c r="F3" s="13" t="s">
        <v>23</v>
      </c>
      <c r="G3" s="13" t="s">
        <v>10</v>
      </c>
      <c r="H3" s="13" t="s">
        <v>42</v>
      </c>
      <c r="I3" s="13" t="s">
        <v>52</v>
      </c>
      <c r="J3" s="13" t="s">
        <v>44</v>
      </c>
      <c r="K3" s="13" t="s">
        <v>53</v>
      </c>
      <c r="L3" s="13" t="s">
        <v>54</v>
      </c>
      <c r="M3" s="13" t="s">
        <v>55</v>
      </c>
      <c r="N3" s="13" t="s">
        <v>56</v>
      </c>
    </row>
    <row r="4" spans="1:14" x14ac:dyDescent="0.25">
      <c r="A4" s="12" t="s">
        <v>57</v>
      </c>
      <c r="B4" s="13" t="s">
        <v>58</v>
      </c>
      <c r="C4" s="13" t="s">
        <v>40</v>
      </c>
      <c r="D4" s="13" t="s">
        <v>59</v>
      </c>
      <c r="E4" s="13" t="s">
        <v>19</v>
      </c>
      <c r="F4" s="13" t="s">
        <v>24</v>
      </c>
      <c r="G4" s="13" t="s">
        <v>10</v>
      </c>
      <c r="H4" s="13" t="s">
        <v>42</v>
      </c>
      <c r="I4" s="13" t="s">
        <v>43</v>
      </c>
      <c r="J4" s="13" t="s">
        <v>44</v>
      </c>
      <c r="K4" s="13" t="s">
        <v>60</v>
      </c>
      <c r="L4" s="13" t="s">
        <v>61</v>
      </c>
      <c r="M4" s="13" t="s">
        <v>55</v>
      </c>
      <c r="N4" s="13" t="s">
        <v>56</v>
      </c>
    </row>
    <row r="5" spans="1:14" x14ac:dyDescent="0.25">
      <c r="A5" s="12" t="s">
        <v>62</v>
      </c>
      <c r="B5" s="13" t="s">
        <v>63</v>
      </c>
      <c r="C5" s="13" t="s">
        <v>64</v>
      </c>
      <c r="D5" s="13" t="s">
        <v>65</v>
      </c>
      <c r="E5" s="13" t="s">
        <v>18</v>
      </c>
      <c r="F5" s="13" t="s">
        <v>23</v>
      </c>
      <c r="G5" s="13" t="s">
        <v>6</v>
      </c>
      <c r="H5" s="13" t="s">
        <v>42</v>
      </c>
      <c r="I5" s="13" t="s">
        <v>66</v>
      </c>
      <c r="J5" s="13" t="s">
        <v>67</v>
      </c>
      <c r="K5" s="13" t="s">
        <v>68</v>
      </c>
      <c r="L5" s="13" t="s">
        <v>69</v>
      </c>
      <c r="M5" s="13" t="s">
        <v>70</v>
      </c>
      <c r="N5" s="13" t="s">
        <v>48</v>
      </c>
    </row>
    <row r="6" spans="1:14" x14ac:dyDescent="0.25">
      <c r="A6" s="12" t="s">
        <v>71</v>
      </c>
      <c r="B6" s="13" t="s">
        <v>72</v>
      </c>
      <c r="C6" s="13" t="s">
        <v>64</v>
      </c>
      <c r="D6" s="13" t="s">
        <v>73</v>
      </c>
      <c r="E6" s="13" t="s">
        <v>19</v>
      </c>
      <c r="F6" s="13" t="s">
        <v>25</v>
      </c>
      <c r="G6" s="13" t="s">
        <v>7</v>
      </c>
      <c r="H6" s="13" t="s">
        <v>42</v>
      </c>
      <c r="I6" s="13" t="s">
        <v>66</v>
      </c>
      <c r="J6" s="13" t="s">
        <v>74</v>
      </c>
      <c r="K6" s="13" t="s">
        <v>75</v>
      </c>
      <c r="L6" s="13" t="s">
        <v>76</v>
      </c>
      <c r="M6" s="13" t="s">
        <v>77</v>
      </c>
      <c r="N6" s="13" t="s">
        <v>48</v>
      </c>
    </row>
    <row r="7" spans="1:14" x14ac:dyDescent="0.25">
      <c r="A7" s="12" t="s">
        <v>78</v>
      </c>
      <c r="B7" s="13" t="s">
        <v>79</v>
      </c>
      <c r="C7" s="13" t="s">
        <v>64</v>
      </c>
      <c r="D7" s="13" t="s">
        <v>80</v>
      </c>
      <c r="E7" s="13" t="s">
        <v>19</v>
      </c>
      <c r="F7" s="13" t="s">
        <v>23</v>
      </c>
      <c r="G7" s="13" t="s">
        <v>10</v>
      </c>
      <c r="H7" s="13" t="s">
        <v>42</v>
      </c>
      <c r="I7" s="13" t="s">
        <v>66</v>
      </c>
      <c r="J7" s="13" t="s">
        <v>67</v>
      </c>
      <c r="K7" s="13" t="s">
        <v>81</v>
      </c>
      <c r="L7" s="13" t="s">
        <v>82</v>
      </c>
      <c r="M7" s="13" t="s">
        <v>83</v>
      </c>
      <c r="N7" s="13" t="s">
        <v>84</v>
      </c>
    </row>
    <row r="8" spans="1:14" x14ac:dyDescent="0.25">
      <c r="A8" s="12" t="s">
        <v>85</v>
      </c>
      <c r="B8" s="13" t="s">
        <v>86</v>
      </c>
      <c r="C8" s="13" t="s">
        <v>64</v>
      </c>
      <c r="D8" s="13" t="s">
        <v>87</v>
      </c>
      <c r="E8" s="13" t="s">
        <v>18</v>
      </c>
      <c r="F8" s="13" t="s">
        <v>24</v>
      </c>
      <c r="G8" s="13" t="s">
        <v>6</v>
      </c>
      <c r="H8" s="13" t="s">
        <v>42</v>
      </c>
      <c r="I8" s="13" t="s">
        <v>66</v>
      </c>
      <c r="J8" s="13" t="s">
        <v>67</v>
      </c>
      <c r="K8" s="13" t="s">
        <v>88</v>
      </c>
      <c r="L8" s="13" t="s">
        <v>89</v>
      </c>
      <c r="M8" s="13" t="s">
        <v>89</v>
      </c>
      <c r="N8" s="13" t="s">
        <v>48</v>
      </c>
    </row>
    <row r="9" spans="1:14" x14ac:dyDescent="0.25">
      <c r="A9" s="12" t="s">
        <v>90</v>
      </c>
      <c r="B9" s="13" t="s">
        <v>91</v>
      </c>
      <c r="C9" s="13" t="s">
        <v>64</v>
      </c>
      <c r="D9" s="13" t="s">
        <v>92</v>
      </c>
      <c r="E9" s="13" t="s">
        <v>20</v>
      </c>
      <c r="F9" s="13" t="s">
        <v>23</v>
      </c>
      <c r="G9" s="13" t="s">
        <v>8</v>
      </c>
      <c r="H9" s="13" t="s">
        <v>93</v>
      </c>
      <c r="I9" s="13" t="s">
        <v>94</v>
      </c>
      <c r="J9" s="13" t="s">
        <v>67</v>
      </c>
      <c r="K9" s="13" t="s">
        <v>95</v>
      </c>
      <c r="L9" s="13" t="s">
        <v>96</v>
      </c>
      <c r="M9" s="13" t="s">
        <v>97</v>
      </c>
      <c r="N9" s="13" t="s">
        <v>98</v>
      </c>
    </row>
    <row r="10" spans="1:14" x14ac:dyDescent="0.25">
      <c r="A10" s="12" t="s">
        <v>99</v>
      </c>
      <c r="B10" s="13" t="s">
        <v>91</v>
      </c>
      <c r="C10" s="13" t="s">
        <v>64</v>
      </c>
      <c r="D10" s="13" t="s">
        <v>100</v>
      </c>
      <c r="E10" s="13" t="s">
        <v>20</v>
      </c>
      <c r="F10" s="13" t="s">
        <v>23</v>
      </c>
      <c r="G10" s="13" t="s">
        <v>8</v>
      </c>
      <c r="H10" s="13" t="s">
        <v>93</v>
      </c>
      <c r="I10" s="13" t="s">
        <v>94</v>
      </c>
      <c r="J10" s="13" t="s">
        <v>67</v>
      </c>
      <c r="K10" s="13" t="s">
        <v>101</v>
      </c>
      <c r="L10" s="13" t="s">
        <v>96</v>
      </c>
      <c r="M10" s="13" t="s">
        <v>102</v>
      </c>
      <c r="N10" s="13" t="s">
        <v>103</v>
      </c>
    </row>
    <row r="11" spans="1:14" x14ac:dyDescent="0.25">
      <c r="A11" s="12" t="s">
        <v>104</v>
      </c>
      <c r="B11" s="13" t="s">
        <v>105</v>
      </c>
      <c r="C11" s="13" t="s">
        <v>64</v>
      </c>
      <c r="D11" s="13" t="s">
        <v>106</v>
      </c>
      <c r="E11" s="13" t="s">
        <v>20</v>
      </c>
      <c r="F11" s="13" t="s">
        <v>24</v>
      </c>
      <c r="G11" s="13" t="s">
        <v>8</v>
      </c>
      <c r="H11" s="13" t="s">
        <v>93</v>
      </c>
      <c r="I11" s="13" t="s">
        <v>94</v>
      </c>
      <c r="J11" s="13" t="s">
        <v>67</v>
      </c>
      <c r="K11" s="13" t="s">
        <v>107</v>
      </c>
      <c r="L11" s="13" t="s">
        <v>96</v>
      </c>
      <c r="M11" s="13" t="s">
        <v>108</v>
      </c>
      <c r="N11" s="13" t="s">
        <v>109</v>
      </c>
    </row>
    <row r="12" spans="1:14" x14ac:dyDescent="0.25">
      <c r="A12" s="12" t="s">
        <v>110</v>
      </c>
      <c r="B12" s="13" t="s">
        <v>111</v>
      </c>
      <c r="C12" s="13" t="s">
        <v>64</v>
      </c>
      <c r="D12" s="13" t="s">
        <v>112</v>
      </c>
      <c r="E12" s="13" t="s">
        <v>19</v>
      </c>
      <c r="F12" s="13" t="s">
        <v>23</v>
      </c>
      <c r="G12" s="13" t="s">
        <v>8</v>
      </c>
      <c r="H12" s="13" t="s">
        <v>93</v>
      </c>
      <c r="I12" s="13" t="s">
        <v>94</v>
      </c>
      <c r="J12" s="13" t="s">
        <v>67</v>
      </c>
      <c r="K12" s="13" t="s">
        <v>113</v>
      </c>
      <c r="L12" s="13" t="s">
        <v>96</v>
      </c>
      <c r="M12" s="13" t="s">
        <v>114</v>
      </c>
      <c r="N12" s="13" t="s">
        <v>115</v>
      </c>
    </row>
    <row r="13" spans="1:14" x14ac:dyDescent="0.25">
      <c r="A13" s="12" t="s">
        <v>116</v>
      </c>
      <c r="B13" s="13" t="s">
        <v>111</v>
      </c>
      <c r="C13" s="13" t="s">
        <v>64</v>
      </c>
      <c r="D13" s="13" t="s">
        <v>117</v>
      </c>
      <c r="E13" s="13" t="s">
        <v>19</v>
      </c>
      <c r="F13" s="13" t="s">
        <v>23</v>
      </c>
      <c r="G13" s="13" t="s">
        <v>8</v>
      </c>
      <c r="H13" s="13" t="s">
        <v>93</v>
      </c>
      <c r="I13" s="13" t="s">
        <v>94</v>
      </c>
      <c r="J13" s="13" t="s">
        <v>67</v>
      </c>
      <c r="K13" s="13" t="s">
        <v>118</v>
      </c>
      <c r="L13" s="13" t="s">
        <v>96</v>
      </c>
      <c r="M13" s="13" t="s">
        <v>119</v>
      </c>
      <c r="N13" s="13" t="s">
        <v>115</v>
      </c>
    </row>
    <row r="14" spans="1:14" x14ac:dyDescent="0.25">
      <c r="A14" s="12" t="s">
        <v>120</v>
      </c>
      <c r="B14" s="13" t="s">
        <v>105</v>
      </c>
      <c r="C14" s="13" t="s">
        <v>64</v>
      </c>
      <c r="D14" s="13" t="s">
        <v>121</v>
      </c>
      <c r="E14" s="13" t="s">
        <v>21</v>
      </c>
      <c r="F14" s="13" t="s">
        <v>24</v>
      </c>
      <c r="G14" s="13" t="s">
        <v>12</v>
      </c>
      <c r="H14" s="13" t="s">
        <v>122</v>
      </c>
      <c r="I14" s="13" t="s">
        <v>123</v>
      </c>
      <c r="J14" s="13" t="s">
        <v>67</v>
      </c>
      <c r="K14" s="13" t="s">
        <v>124</v>
      </c>
      <c r="L14" s="13" t="s">
        <v>125</v>
      </c>
      <c r="M14" s="13" t="s">
        <v>126</v>
      </c>
      <c r="N14" s="13" t="s">
        <v>48</v>
      </c>
    </row>
    <row r="15" spans="1:14" x14ac:dyDescent="0.25">
      <c r="A15" s="12" t="s">
        <v>127</v>
      </c>
      <c r="B15" s="13" t="s">
        <v>105</v>
      </c>
      <c r="C15" s="13" t="s">
        <v>64</v>
      </c>
      <c r="D15" s="13" t="s">
        <v>128</v>
      </c>
      <c r="E15" s="13" t="s">
        <v>20</v>
      </c>
      <c r="F15" s="13" t="s">
        <v>25</v>
      </c>
      <c r="G15" s="13" t="s">
        <v>14</v>
      </c>
      <c r="H15" s="13" t="s">
        <v>122</v>
      </c>
      <c r="I15" s="13" t="s">
        <v>123</v>
      </c>
      <c r="J15" s="13" t="s">
        <v>67</v>
      </c>
      <c r="K15" s="13" t="s">
        <v>129</v>
      </c>
      <c r="L15" s="13" t="s">
        <v>130</v>
      </c>
      <c r="M15" s="13" t="s">
        <v>131</v>
      </c>
      <c r="N15" s="13" t="s">
        <v>48</v>
      </c>
    </row>
    <row r="16" spans="1:14" x14ac:dyDescent="0.25">
      <c r="A16" s="12" t="s">
        <v>132</v>
      </c>
      <c r="B16" s="13" t="s">
        <v>133</v>
      </c>
      <c r="C16" s="13" t="s">
        <v>64</v>
      </c>
      <c r="D16" s="13" t="s">
        <v>134</v>
      </c>
      <c r="E16" s="13" t="s">
        <v>18</v>
      </c>
      <c r="F16" s="13" t="s">
        <v>23</v>
      </c>
      <c r="G16" s="13" t="s">
        <v>6</v>
      </c>
      <c r="H16" s="13" t="s">
        <v>42</v>
      </c>
      <c r="I16" s="13" t="s">
        <v>135</v>
      </c>
      <c r="J16" s="13" t="s">
        <v>136</v>
      </c>
      <c r="K16" s="13" t="s">
        <v>137</v>
      </c>
      <c r="L16" s="13" t="s">
        <v>138</v>
      </c>
      <c r="M16" s="13" t="s">
        <v>139</v>
      </c>
      <c r="N16" s="13" t="s">
        <v>48</v>
      </c>
    </row>
    <row r="17" spans="1:14" x14ac:dyDescent="0.25">
      <c r="A17" s="12" t="s">
        <v>140</v>
      </c>
      <c r="B17" s="13" t="s">
        <v>141</v>
      </c>
      <c r="C17" s="13" t="s">
        <v>64</v>
      </c>
      <c r="D17" s="13" t="s">
        <v>142</v>
      </c>
      <c r="E17" s="13" t="s">
        <v>19</v>
      </c>
      <c r="F17" s="13" t="s">
        <v>23</v>
      </c>
      <c r="G17" s="13" t="s">
        <v>6</v>
      </c>
      <c r="H17" s="13" t="s">
        <v>42</v>
      </c>
      <c r="I17" s="13" t="s">
        <v>135</v>
      </c>
      <c r="J17" s="13" t="s">
        <v>74</v>
      </c>
      <c r="K17" s="13" t="s">
        <v>143</v>
      </c>
      <c r="L17" s="13" t="s">
        <v>144</v>
      </c>
      <c r="M17" s="13" t="s">
        <v>144</v>
      </c>
      <c r="N17" s="13" t="s">
        <v>48</v>
      </c>
    </row>
    <row r="18" spans="1:14" x14ac:dyDescent="0.25">
      <c r="A18" s="12" t="s">
        <v>145</v>
      </c>
      <c r="B18" s="13" t="s">
        <v>141</v>
      </c>
      <c r="C18" s="13" t="s">
        <v>64</v>
      </c>
      <c r="D18" s="13" t="s">
        <v>146</v>
      </c>
      <c r="E18" s="13" t="s">
        <v>19</v>
      </c>
      <c r="F18" s="13" t="s">
        <v>25</v>
      </c>
      <c r="G18" s="13" t="s">
        <v>6</v>
      </c>
      <c r="H18" s="13" t="s">
        <v>42</v>
      </c>
      <c r="I18" s="13" t="s">
        <v>135</v>
      </c>
      <c r="J18" s="13" t="s">
        <v>74</v>
      </c>
      <c r="K18" s="13" t="s">
        <v>147</v>
      </c>
      <c r="L18" s="13" t="s">
        <v>148</v>
      </c>
      <c r="M18" s="13" t="s">
        <v>144</v>
      </c>
      <c r="N18" s="13" t="s">
        <v>48</v>
      </c>
    </row>
    <row r="19" spans="1:14" x14ac:dyDescent="0.25">
      <c r="A19" s="12" t="s">
        <v>149</v>
      </c>
      <c r="B19" s="13" t="s">
        <v>150</v>
      </c>
      <c r="C19" s="13" t="s">
        <v>64</v>
      </c>
      <c r="D19" s="13" t="s">
        <v>151</v>
      </c>
      <c r="E19" s="13" t="s">
        <v>18</v>
      </c>
      <c r="F19" s="13" t="s">
        <v>23</v>
      </c>
      <c r="G19" s="13" t="s">
        <v>6</v>
      </c>
      <c r="H19" s="13" t="s">
        <v>42</v>
      </c>
      <c r="I19" s="13" t="s">
        <v>135</v>
      </c>
      <c r="J19" s="13" t="s">
        <v>74</v>
      </c>
      <c r="K19" s="13" t="s">
        <v>152</v>
      </c>
      <c r="L19" s="13" t="s">
        <v>153</v>
      </c>
      <c r="M19" s="13" t="s">
        <v>154</v>
      </c>
      <c r="N19" s="13" t="s">
        <v>48</v>
      </c>
    </row>
    <row r="20" spans="1:14" x14ac:dyDescent="0.25">
      <c r="A20" s="12" t="s">
        <v>155</v>
      </c>
      <c r="B20" s="13" t="s">
        <v>156</v>
      </c>
      <c r="C20" s="13" t="s">
        <v>64</v>
      </c>
      <c r="D20" s="13" t="s">
        <v>157</v>
      </c>
      <c r="E20" s="13" t="s">
        <v>18</v>
      </c>
      <c r="F20" s="13" t="s">
        <v>24</v>
      </c>
      <c r="G20" s="13" t="s">
        <v>6</v>
      </c>
      <c r="H20" s="13" t="s">
        <v>42</v>
      </c>
      <c r="I20" s="13" t="s">
        <v>135</v>
      </c>
      <c r="J20" s="13" t="s">
        <v>158</v>
      </c>
      <c r="K20" s="13" t="s">
        <v>159</v>
      </c>
      <c r="L20" s="13" t="s">
        <v>160</v>
      </c>
      <c r="M20" s="13" t="s">
        <v>161</v>
      </c>
      <c r="N20" s="13" t="s">
        <v>48</v>
      </c>
    </row>
    <row r="21" spans="1:14" x14ac:dyDescent="0.25">
      <c r="A21" s="12" t="s">
        <v>162</v>
      </c>
      <c r="B21" s="13" t="s">
        <v>156</v>
      </c>
      <c r="C21" s="13" t="s">
        <v>64</v>
      </c>
      <c r="D21" s="13" t="s">
        <v>163</v>
      </c>
      <c r="E21" s="13" t="s">
        <v>18</v>
      </c>
      <c r="F21" s="13" t="s">
        <v>25</v>
      </c>
      <c r="G21" s="13" t="s">
        <v>6</v>
      </c>
      <c r="H21" s="13" t="s">
        <v>122</v>
      </c>
      <c r="I21" s="13" t="s">
        <v>123</v>
      </c>
      <c r="J21" s="13" t="s">
        <v>74</v>
      </c>
      <c r="K21" s="13" t="s">
        <v>164</v>
      </c>
      <c r="L21" s="13" t="s">
        <v>165</v>
      </c>
      <c r="M21" s="13" t="s">
        <v>154</v>
      </c>
      <c r="N21" s="13" t="s">
        <v>48</v>
      </c>
    </row>
    <row r="22" spans="1:14" x14ac:dyDescent="0.25">
      <c r="A22" s="12" t="s">
        <v>166</v>
      </c>
      <c r="B22" s="13" t="s">
        <v>167</v>
      </c>
      <c r="C22" s="13" t="s">
        <v>64</v>
      </c>
      <c r="D22" s="13" t="s">
        <v>168</v>
      </c>
      <c r="E22" s="13" t="s">
        <v>18</v>
      </c>
      <c r="F22" s="13" t="s">
        <v>23</v>
      </c>
      <c r="G22" s="13" t="s">
        <v>6</v>
      </c>
      <c r="H22" s="13" t="s">
        <v>42</v>
      </c>
      <c r="I22" s="13" t="s">
        <v>169</v>
      </c>
      <c r="J22" s="13" t="s">
        <v>170</v>
      </c>
      <c r="K22" s="13" t="s">
        <v>171</v>
      </c>
      <c r="L22" s="13" t="s">
        <v>172</v>
      </c>
      <c r="M22" s="13" t="s">
        <v>173</v>
      </c>
      <c r="N22" s="13" t="s">
        <v>48</v>
      </c>
    </row>
    <row r="23" spans="1:14" x14ac:dyDescent="0.25">
      <c r="A23" s="12" t="s">
        <v>174</v>
      </c>
      <c r="B23" s="13" t="s">
        <v>175</v>
      </c>
      <c r="C23" s="13" t="s">
        <v>64</v>
      </c>
      <c r="D23" s="13" t="s">
        <v>176</v>
      </c>
      <c r="E23" s="13" t="s">
        <v>21</v>
      </c>
      <c r="F23" s="13" t="s">
        <v>23</v>
      </c>
      <c r="G23" s="13" t="s">
        <v>6</v>
      </c>
      <c r="H23" s="13" t="s">
        <v>42</v>
      </c>
      <c r="I23" s="13" t="s">
        <v>169</v>
      </c>
      <c r="J23" s="13" t="s">
        <v>136</v>
      </c>
      <c r="K23" s="13" t="s">
        <v>177</v>
      </c>
      <c r="L23" s="13" t="s">
        <v>178</v>
      </c>
      <c r="M23" s="13" t="s">
        <v>178</v>
      </c>
      <c r="N23" s="13" t="s">
        <v>48</v>
      </c>
    </row>
    <row r="24" spans="1:14" x14ac:dyDescent="0.25">
      <c r="A24" s="12" t="s">
        <v>179</v>
      </c>
      <c r="B24" s="13" t="s">
        <v>175</v>
      </c>
      <c r="C24" s="13" t="s">
        <v>64</v>
      </c>
      <c r="D24" s="13" t="s">
        <v>180</v>
      </c>
      <c r="E24" s="13" t="s">
        <v>21</v>
      </c>
      <c r="F24" s="13" t="s">
        <v>23</v>
      </c>
      <c r="G24" s="13" t="s">
        <v>6</v>
      </c>
      <c r="H24" s="13" t="s">
        <v>42</v>
      </c>
      <c r="I24" s="13" t="s">
        <v>169</v>
      </c>
      <c r="J24" s="13" t="s">
        <v>136</v>
      </c>
      <c r="K24" s="13" t="s">
        <v>181</v>
      </c>
      <c r="L24" s="13" t="s">
        <v>178</v>
      </c>
      <c r="M24" s="13" t="s">
        <v>178</v>
      </c>
      <c r="N24" s="13" t="s">
        <v>48</v>
      </c>
    </row>
    <row r="25" spans="1:14" x14ac:dyDescent="0.25">
      <c r="A25" s="12" t="s">
        <v>182</v>
      </c>
      <c r="B25" s="13" t="s">
        <v>183</v>
      </c>
      <c r="C25" s="13" t="s">
        <v>64</v>
      </c>
      <c r="D25" s="13" t="s">
        <v>184</v>
      </c>
      <c r="E25" s="13" t="s">
        <v>18</v>
      </c>
      <c r="F25" s="13" t="s">
        <v>23</v>
      </c>
      <c r="G25" s="13" t="s">
        <v>6</v>
      </c>
      <c r="H25" s="13" t="s">
        <v>42</v>
      </c>
      <c r="I25" s="13" t="s">
        <v>169</v>
      </c>
      <c r="J25" s="13" t="s">
        <v>170</v>
      </c>
      <c r="K25" s="13" t="s">
        <v>185</v>
      </c>
      <c r="L25" s="13" t="s">
        <v>186</v>
      </c>
      <c r="M25" s="13" t="s">
        <v>186</v>
      </c>
      <c r="N25" s="13" t="s">
        <v>48</v>
      </c>
    </row>
    <row r="26" spans="1:14" x14ac:dyDescent="0.25">
      <c r="A26" s="12" t="s">
        <v>187</v>
      </c>
      <c r="B26" s="13" t="s">
        <v>175</v>
      </c>
      <c r="C26" s="13" t="s">
        <v>64</v>
      </c>
      <c r="D26" s="13" t="s">
        <v>188</v>
      </c>
      <c r="E26" s="13" t="s">
        <v>21</v>
      </c>
      <c r="F26" s="13" t="s">
        <v>23</v>
      </c>
      <c r="G26" s="13" t="s">
        <v>6</v>
      </c>
      <c r="H26" s="13" t="s">
        <v>42</v>
      </c>
      <c r="I26" s="13" t="s">
        <v>169</v>
      </c>
      <c r="J26" s="13" t="s">
        <v>136</v>
      </c>
      <c r="K26" s="13" t="s">
        <v>189</v>
      </c>
      <c r="L26" s="13" t="s">
        <v>178</v>
      </c>
      <c r="M26" s="13" t="s">
        <v>178</v>
      </c>
      <c r="N26" s="13" t="s">
        <v>48</v>
      </c>
    </row>
    <row r="27" spans="1:14" x14ac:dyDescent="0.25">
      <c r="A27" s="12" t="s">
        <v>190</v>
      </c>
      <c r="B27" s="13" t="s">
        <v>191</v>
      </c>
      <c r="C27" s="13" t="s">
        <v>64</v>
      </c>
      <c r="D27" s="13" t="s">
        <v>192</v>
      </c>
      <c r="E27" s="13" t="s">
        <v>21</v>
      </c>
      <c r="F27" s="13" t="s">
        <v>23</v>
      </c>
      <c r="G27" s="13" t="s">
        <v>6</v>
      </c>
      <c r="H27" s="13" t="s">
        <v>42</v>
      </c>
      <c r="I27" s="13" t="s">
        <v>193</v>
      </c>
      <c r="J27" s="13" t="s">
        <v>136</v>
      </c>
      <c r="K27" s="13" t="s">
        <v>194</v>
      </c>
      <c r="L27" s="13" t="s">
        <v>195</v>
      </c>
      <c r="M27" s="13" t="s">
        <v>178</v>
      </c>
      <c r="N27" s="13" t="s">
        <v>48</v>
      </c>
    </row>
    <row r="28" spans="1:14" x14ac:dyDescent="0.25">
      <c r="A28" s="12" t="s">
        <v>196</v>
      </c>
      <c r="B28" s="13" t="s">
        <v>197</v>
      </c>
      <c r="C28" s="13" t="s">
        <v>64</v>
      </c>
      <c r="D28" s="13" t="s">
        <v>198</v>
      </c>
      <c r="E28" s="13" t="s">
        <v>18</v>
      </c>
      <c r="F28" s="13" t="s">
        <v>23</v>
      </c>
      <c r="G28" s="13" t="s">
        <v>7</v>
      </c>
      <c r="H28" s="13" t="s">
        <v>42</v>
      </c>
      <c r="I28" s="13" t="s">
        <v>193</v>
      </c>
      <c r="J28" s="13" t="s">
        <v>170</v>
      </c>
      <c r="K28" s="13" t="s">
        <v>199</v>
      </c>
      <c r="L28" s="13" t="s">
        <v>200</v>
      </c>
      <c r="M28" s="13" t="s">
        <v>201</v>
      </c>
      <c r="N28" s="13" t="s">
        <v>202</v>
      </c>
    </row>
    <row r="29" spans="1:14" x14ac:dyDescent="0.25">
      <c r="A29" s="12" t="s">
        <v>203</v>
      </c>
      <c r="B29" s="13" t="s">
        <v>197</v>
      </c>
      <c r="C29" s="13" t="s">
        <v>64</v>
      </c>
      <c r="D29" s="13" t="s">
        <v>204</v>
      </c>
      <c r="E29" s="13" t="s">
        <v>18</v>
      </c>
      <c r="F29" s="13" t="s">
        <v>23</v>
      </c>
      <c r="G29" s="13" t="s">
        <v>6</v>
      </c>
      <c r="H29" s="13" t="s">
        <v>42</v>
      </c>
      <c r="I29" s="13" t="s">
        <v>193</v>
      </c>
      <c r="J29" s="13" t="s">
        <v>205</v>
      </c>
      <c r="K29" s="13" t="s">
        <v>137</v>
      </c>
      <c r="L29" s="13" t="s">
        <v>144</v>
      </c>
      <c r="M29" s="13" t="s">
        <v>144</v>
      </c>
      <c r="N29" s="13" t="s">
        <v>48</v>
      </c>
    </row>
    <row r="30" spans="1:14" x14ac:dyDescent="0.25">
      <c r="A30" s="12" t="s">
        <v>206</v>
      </c>
      <c r="B30" s="13" t="s">
        <v>207</v>
      </c>
      <c r="C30" s="13" t="s">
        <v>64</v>
      </c>
      <c r="D30" s="13" t="s">
        <v>208</v>
      </c>
      <c r="E30" s="13" t="s">
        <v>19</v>
      </c>
      <c r="F30" s="13" t="s">
        <v>24</v>
      </c>
      <c r="G30" s="13" t="s">
        <v>10</v>
      </c>
      <c r="H30" s="13" t="s">
        <v>42</v>
      </c>
      <c r="I30" s="13" t="s">
        <v>193</v>
      </c>
      <c r="J30" s="13" t="s">
        <v>209</v>
      </c>
      <c r="K30" s="13" t="s">
        <v>210</v>
      </c>
      <c r="L30" s="13" t="s">
        <v>144</v>
      </c>
      <c r="M30" s="13" t="s">
        <v>211</v>
      </c>
      <c r="N30" s="13" t="s">
        <v>202</v>
      </c>
    </row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</sheetData>
  <autoFilter ref="A1:N1"/>
  <conditionalFormatting sqref="G2:G200">
    <cfRule type="expression" dxfId="0" priority="1">
      <formula>LEFT($G2,5)="Lulus"</formula>
    </cfRule>
    <cfRule type="expression" dxfId="1" priority="2">
      <formula>LEFT($G2,5)="Gagal"</formula>
    </cfRule>
    <cfRule type="expression" dxfId="2" priority="3">
      <formula>AND($G2&lt;&gt;"",LEFT($G2,5)&lt;&gt;"Lulus",LEFT($G2,5)&lt;&gt;"Gagal")</formula>
    </cfRule>
  </conditionalFormatting>
  <dataValidations count="8">
    <dataValidation type="list" allowBlank="1" sqref="E10:E200">
      <formula1>"Positif,Negatif,Batas,Keamanan"</formula1>
    </dataValidation>
    <dataValidation type="list" allowBlank="1" sqref="E2:E200">
      <formula1>"Positif,Negatif,Batas,Keamanan"</formula1>
    </dataValidation>
    <dataValidation type="list" allowBlank="1" sqref="F10:F200">
      <formula1>"P1,P2,P3"</formula1>
    </dataValidation>
    <dataValidation type="list" allowBlank="1" sqref="F2:F200">
      <formula1>"P1,P2,P3"</formula1>
    </dataValidation>
    <dataValidation type="list" allowBlank="1" sqref="G10:G200">
      <formula1>"Lulus,Gagal,Gagal (sudah diketahui),Lulus (perilaku terdokumentasi),Observasi,Belum dijalankan"</formula1>
    </dataValidation>
    <dataValidation type="list" allowBlank="1" sqref="G2:G200">
      <formula1>"Lulus,Gagal,Gagal (sudah diketahui),Lulus (perilaku terdokumentasi),Observasi,Belum dijalankan"</formula1>
    </dataValidation>
    <dataValidation type="list" allowBlank="1" sqref="H10:H200">
      <formula1>"Postman,Postman (folder defect),Manual"</formula1>
    </dataValidation>
    <dataValidation type="list" allowBlank="1" sqref="H2:H200">
      <formula1>"Postman,Postman (folder defect),Manual"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A4C8"/>
  </sheetPr>
  <dimension ref="A1:D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style="9" customWidth="1"/>
    <col min="2" max="2" width="34" customWidth="1"/>
    <col min="3" max="3" width="80" customWidth="1"/>
    <col min="4" max="4" width="20" customWidth="1"/>
  </cols>
  <sheetData>
    <row r="1" ht="24" customHeight="1" spans="1:4" x14ac:dyDescent="0.25">
      <c r="A1" s="10" t="s">
        <v>27</v>
      </c>
      <c r="B1" s="11" t="s">
        <v>212</v>
      </c>
      <c r="C1" s="11" t="s">
        <v>28</v>
      </c>
      <c r="D1" s="11" t="s">
        <v>213</v>
      </c>
    </row>
    <row r="2" spans="1:4" x14ac:dyDescent="0.25">
      <c r="A2" s="12" t="s">
        <v>39</v>
      </c>
      <c r="B2" s="13" t="s">
        <v>214</v>
      </c>
      <c r="C2" s="13" t="s">
        <v>215</v>
      </c>
      <c r="D2" s="13" t="s">
        <v>18</v>
      </c>
    </row>
    <row r="3" spans="1:4" x14ac:dyDescent="0.25">
      <c r="A3" s="12" t="s">
        <v>50</v>
      </c>
      <c r="B3" s="13" t="s">
        <v>214</v>
      </c>
      <c r="C3" s="13" t="s">
        <v>216</v>
      </c>
      <c r="D3" s="13" t="s">
        <v>19</v>
      </c>
    </row>
    <row r="4" spans="1:4" x14ac:dyDescent="0.25">
      <c r="A4" s="12" t="s">
        <v>58</v>
      </c>
      <c r="B4" s="13" t="s">
        <v>214</v>
      </c>
      <c r="C4" s="13" t="s">
        <v>217</v>
      </c>
      <c r="D4" s="13" t="s">
        <v>19</v>
      </c>
    </row>
    <row r="5" spans="1:4" x14ac:dyDescent="0.25">
      <c r="A5" s="12" t="s">
        <v>63</v>
      </c>
      <c r="B5" s="13" t="s">
        <v>218</v>
      </c>
      <c r="C5" s="13" t="s">
        <v>219</v>
      </c>
      <c r="D5" s="13" t="s">
        <v>18</v>
      </c>
    </row>
    <row r="6" spans="1:4" x14ac:dyDescent="0.25">
      <c r="A6" s="12" t="s">
        <v>86</v>
      </c>
      <c r="B6" s="13" t="s">
        <v>218</v>
      </c>
      <c r="C6" s="13" t="s">
        <v>220</v>
      </c>
      <c r="D6" s="13" t="s">
        <v>18</v>
      </c>
    </row>
    <row r="7" spans="1:4" x14ac:dyDescent="0.25">
      <c r="A7" s="12" t="s">
        <v>79</v>
      </c>
      <c r="B7" s="13" t="s">
        <v>218</v>
      </c>
      <c r="C7" s="13" t="s">
        <v>221</v>
      </c>
      <c r="D7" s="13" t="s">
        <v>19</v>
      </c>
    </row>
    <row r="8" spans="1:4" x14ac:dyDescent="0.25">
      <c r="A8" s="12" t="s">
        <v>91</v>
      </c>
      <c r="B8" s="13" t="s">
        <v>218</v>
      </c>
      <c r="C8" s="13" t="s">
        <v>222</v>
      </c>
      <c r="D8" s="13" t="s">
        <v>223</v>
      </c>
    </row>
    <row r="9" spans="1:4" x14ac:dyDescent="0.25">
      <c r="A9" s="12" t="s">
        <v>111</v>
      </c>
      <c r="B9" s="13" t="s">
        <v>218</v>
      </c>
      <c r="C9" s="13" t="s">
        <v>224</v>
      </c>
      <c r="D9" s="13" t="s">
        <v>19</v>
      </c>
    </row>
    <row r="10" spans="1:4" x14ac:dyDescent="0.25">
      <c r="A10" s="12" t="s">
        <v>105</v>
      </c>
      <c r="B10" s="13" t="s">
        <v>218</v>
      </c>
      <c r="C10" s="13" t="s">
        <v>225</v>
      </c>
      <c r="D10" s="13" t="s">
        <v>226</v>
      </c>
    </row>
    <row r="11" spans="1:4" x14ac:dyDescent="0.25">
      <c r="A11" s="12" t="s">
        <v>72</v>
      </c>
      <c r="B11" s="13" t="s">
        <v>218</v>
      </c>
      <c r="C11" s="13" t="s">
        <v>227</v>
      </c>
      <c r="D11" s="13" t="s">
        <v>19</v>
      </c>
    </row>
    <row r="12" spans="1:4" x14ac:dyDescent="0.25">
      <c r="A12" s="12" t="s">
        <v>133</v>
      </c>
      <c r="B12" s="13" t="s">
        <v>228</v>
      </c>
      <c r="C12" s="13" t="s">
        <v>229</v>
      </c>
      <c r="D12" s="13" t="s">
        <v>18</v>
      </c>
    </row>
    <row r="13" spans="1:4" x14ac:dyDescent="0.25">
      <c r="A13" s="12" t="s">
        <v>141</v>
      </c>
      <c r="B13" s="13" t="s">
        <v>228</v>
      </c>
      <c r="C13" s="13" t="s">
        <v>230</v>
      </c>
      <c r="D13" s="13" t="s">
        <v>19</v>
      </c>
    </row>
    <row r="14" spans="1:4" x14ac:dyDescent="0.25">
      <c r="A14" s="12" t="s">
        <v>150</v>
      </c>
      <c r="B14" s="13" t="s">
        <v>228</v>
      </c>
      <c r="C14" s="13" t="s">
        <v>231</v>
      </c>
      <c r="D14" s="13" t="s">
        <v>18</v>
      </c>
    </row>
    <row r="15" spans="1:4" x14ac:dyDescent="0.25">
      <c r="A15" s="12" t="s">
        <v>156</v>
      </c>
      <c r="B15" s="13" t="s">
        <v>228</v>
      </c>
      <c r="C15" s="13" t="s">
        <v>232</v>
      </c>
      <c r="D15" s="13" t="s">
        <v>18</v>
      </c>
    </row>
    <row r="16" spans="1:4" x14ac:dyDescent="0.25">
      <c r="A16" s="12" t="s">
        <v>167</v>
      </c>
      <c r="B16" s="13" t="s">
        <v>233</v>
      </c>
      <c r="C16" s="13" t="s">
        <v>234</v>
      </c>
      <c r="D16" s="13" t="s">
        <v>18</v>
      </c>
    </row>
    <row r="17" spans="1:4" x14ac:dyDescent="0.25">
      <c r="A17" s="12" t="s">
        <v>183</v>
      </c>
      <c r="B17" s="13" t="s">
        <v>233</v>
      </c>
      <c r="C17" s="13" t="s">
        <v>235</v>
      </c>
      <c r="D17" s="13" t="s">
        <v>18</v>
      </c>
    </row>
    <row r="18" spans="1:4" x14ac:dyDescent="0.25">
      <c r="A18" s="12" t="s">
        <v>175</v>
      </c>
      <c r="B18" s="13" t="s">
        <v>233</v>
      </c>
      <c r="C18" s="13" t="s">
        <v>236</v>
      </c>
      <c r="D18" s="13" t="s">
        <v>21</v>
      </c>
    </row>
    <row r="19" spans="1:4" x14ac:dyDescent="0.25">
      <c r="A19" s="12" t="s">
        <v>197</v>
      </c>
      <c r="B19" s="13" t="s">
        <v>237</v>
      </c>
      <c r="C19" s="13" t="s">
        <v>238</v>
      </c>
      <c r="D19" s="13" t="s">
        <v>18</v>
      </c>
    </row>
    <row r="20" spans="1:4" x14ac:dyDescent="0.25">
      <c r="A20" s="12" t="s">
        <v>191</v>
      </c>
      <c r="B20" s="13" t="s">
        <v>237</v>
      </c>
      <c r="C20" s="13" t="s">
        <v>239</v>
      </c>
      <c r="D20" s="13" t="s">
        <v>21</v>
      </c>
    </row>
    <row r="21" spans="1:4" x14ac:dyDescent="0.25">
      <c r="A21" s="12" t="s">
        <v>207</v>
      </c>
      <c r="B21" s="13" t="s">
        <v>237</v>
      </c>
      <c r="C21" s="13" t="s">
        <v>240</v>
      </c>
      <c r="D21" s="13" t="s">
        <v>19</v>
      </c>
    </row>
    <row r="22" spans="1:4" x14ac:dyDescent="0.25">
      <c r="A22" s="12" t="s">
        <v>241</v>
      </c>
      <c r="B22" s="13" t="s">
        <v>242</v>
      </c>
      <c r="C22" s="13" t="s">
        <v>243</v>
      </c>
      <c r="D22" s="13" t="s">
        <v>48</v>
      </c>
    </row>
    <row r="23" spans="1:4" x14ac:dyDescent="0.25">
      <c r="A23" s="12" t="s">
        <v>244</v>
      </c>
      <c r="B23" s="13" t="s">
        <v>245</v>
      </c>
      <c r="C23" s="13" t="s">
        <v>246</v>
      </c>
      <c r="D23" s="13" t="s">
        <v>247</v>
      </c>
    </row>
    <row r="24" spans="1:4" x14ac:dyDescent="0.25">
      <c r="A24" s="12" t="s">
        <v>248</v>
      </c>
      <c r="B24" s="13" t="s">
        <v>245</v>
      </c>
      <c r="C24" s="13" t="s">
        <v>249</v>
      </c>
      <c r="D24" s="13" t="s">
        <v>250</v>
      </c>
    </row>
    <row r="25" spans="1:4" x14ac:dyDescent="0.25">
      <c r="A25" s="12" t="s">
        <v>251</v>
      </c>
      <c r="B25" s="13" t="s">
        <v>245</v>
      </c>
      <c r="C25" s="13" t="s">
        <v>252</v>
      </c>
      <c r="D25" s="13" t="s">
        <v>253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3A3A"/>
  </sheetPr>
  <dimension ref="A1:I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52" customWidth="1"/>
    <col min="3" max="5" width="10" customWidth="1"/>
    <col min="6" max="6" width="20" customWidth="1"/>
    <col min="7" max="8" width="42" customWidth="1"/>
    <col min="9" max="9" width="16" customWidth="1"/>
  </cols>
  <sheetData>
    <row r="1" ht="24" customHeight="1" spans="1:9" x14ac:dyDescent="0.25">
      <c r="A1" s="11" t="s">
        <v>254</v>
      </c>
      <c r="B1" s="11" t="s">
        <v>30</v>
      </c>
      <c r="C1" s="11" t="s">
        <v>255</v>
      </c>
      <c r="D1" s="11" t="s">
        <v>22</v>
      </c>
      <c r="E1" s="11" t="s">
        <v>4</v>
      </c>
      <c r="F1" s="11" t="s">
        <v>256</v>
      </c>
      <c r="G1" s="11" t="s">
        <v>257</v>
      </c>
      <c r="H1" s="11" t="s">
        <v>258</v>
      </c>
      <c r="I1" s="11" t="s">
        <v>259</v>
      </c>
    </row>
    <row r="2" spans="1:9" x14ac:dyDescent="0.25">
      <c r="A2" s="12" t="s">
        <v>98</v>
      </c>
      <c r="B2" s="13" t="s">
        <v>260</v>
      </c>
      <c r="C2" s="14" t="s">
        <v>261</v>
      </c>
      <c r="D2" s="13" t="s">
        <v>23</v>
      </c>
      <c r="E2" s="13" t="s">
        <v>262</v>
      </c>
      <c r="F2" s="13" t="s">
        <v>90</v>
      </c>
      <c r="G2" s="13" t="s">
        <v>263</v>
      </c>
      <c r="H2" s="13" t="s">
        <v>264</v>
      </c>
      <c r="I2" s="15" t="s">
        <v>265</v>
      </c>
    </row>
    <row r="3" spans="1:9" x14ac:dyDescent="0.25">
      <c r="A3" s="12" t="s">
        <v>103</v>
      </c>
      <c r="B3" s="13" t="s">
        <v>266</v>
      </c>
      <c r="C3" s="14" t="s">
        <v>261</v>
      </c>
      <c r="D3" s="13" t="s">
        <v>23</v>
      </c>
      <c r="E3" s="13" t="s">
        <v>262</v>
      </c>
      <c r="F3" s="13" t="s">
        <v>99</v>
      </c>
      <c r="G3" s="13" t="s">
        <v>267</v>
      </c>
      <c r="H3" s="13" t="s">
        <v>268</v>
      </c>
      <c r="I3" s="15" t="s">
        <v>265</v>
      </c>
    </row>
    <row r="4" spans="1:9" x14ac:dyDescent="0.25">
      <c r="A4" s="12" t="s">
        <v>109</v>
      </c>
      <c r="B4" s="13" t="s">
        <v>269</v>
      </c>
      <c r="C4" s="13" t="s">
        <v>270</v>
      </c>
      <c r="D4" s="13" t="s">
        <v>24</v>
      </c>
      <c r="E4" s="13" t="s">
        <v>262</v>
      </c>
      <c r="F4" s="13" t="s">
        <v>104</v>
      </c>
      <c r="G4" s="13" t="s">
        <v>48</v>
      </c>
      <c r="H4" s="13" t="s">
        <v>271</v>
      </c>
      <c r="I4" s="13" t="s">
        <v>48</v>
      </c>
    </row>
    <row r="5" spans="1:9" x14ac:dyDescent="0.25">
      <c r="A5" s="12" t="s">
        <v>115</v>
      </c>
      <c r="B5" s="13" t="s">
        <v>272</v>
      </c>
      <c r="C5" s="14" t="s">
        <v>261</v>
      </c>
      <c r="D5" s="13" t="s">
        <v>23</v>
      </c>
      <c r="E5" s="13" t="s">
        <v>262</v>
      </c>
      <c r="F5" s="13" t="s">
        <v>273</v>
      </c>
      <c r="G5" s="13" t="s">
        <v>274</v>
      </c>
      <c r="H5" s="13" t="s">
        <v>275</v>
      </c>
      <c r="I5" s="15" t="s">
        <v>265</v>
      </c>
    </row>
    <row r="6" spans="1:9" x14ac:dyDescent="0.25">
      <c r="A6" s="12" t="s">
        <v>84</v>
      </c>
      <c r="B6" s="13" t="s">
        <v>276</v>
      </c>
      <c r="C6" s="14" t="s">
        <v>261</v>
      </c>
      <c r="D6" s="13" t="s">
        <v>23</v>
      </c>
      <c r="E6" s="13" t="s">
        <v>262</v>
      </c>
      <c r="F6" s="13" t="s">
        <v>78</v>
      </c>
      <c r="G6" s="13" t="s">
        <v>277</v>
      </c>
      <c r="H6" s="13" t="s">
        <v>278</v>
      </c>
      <c r="I6" s="15" t="s">
        <v>265</v>
      </c>
    </row>
    <row r="7" spans="1:9" x14ac:dyDescent="0.25">
      <c r="A7" s="12" t="s">
        <v>56</v>
      </c>
      <c r="B7" s="13" t="s">
        <v>279</v>
      </c>
      <c r="C7" s="13" t="s">
        <v>270</v>
      </c>
      <c r="D7" s="13" t="s">
        <v>24</v>
      </c>
      <c r="E7" s="13" t="s">
        <v>262</v>
      </c>
      <c r="F7" s="13" t="s">
        <v>280</v>
      </c>
      <c r="G7" s="13" t="s">
        <v>281</v>
      </c>
      <c r="H7" s="13" t="s">
        <v>282</v>
      </c>
      <c r="I7" s="15" t="s">
        <v>265</v>
      </c>
    </row>
    <row r="8" spans="1:9" x14ac:dyDescent="0.25">
      <c r="A8" s="12" t="s">
        <v>202</v>
      </c>
      <c r="B8" s="13" t="s">
        <v>283</v>
      </c>
      <c r="C8" s="13" t="s">
        <v>270</v>
      </c>
      <c r="D8" s="13" t="s">
        <v>25</v>
      </c>
      <c r="E8" s="13" t="s">
        <v>262</v>
      </c>
      <c r="F8" s="13" t="s">
        <v>284</v>
      </c>
      <c r="G8" s="13" t="s">
        <v>48</v>
      </c>
      <c r="H8" s="13" t="s">
        <v>285</v>
      </c>
      <c r="I8" s="13" t="s">
        <v>48</v>
      </c>
    </row>
  </sheetData>
  <autoFilter ref="A1:I1"/>
  <hyperlinks>
    <hyperlink ref="I2" r:id="rId1"/>
    <hyperlink ref="I3" r:id="rId2"/>
    <hyperlink ref="I5" r:id="rId3"/>
    <hyperlink ref="I6" r:id="rId4"/>
    <hyperlink ref="I7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Test Case</vt:lpstr>
      <vt:lpstr>Skenario</vt:lpstr>
      <vt:lpstr>Laporan Bug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Lailatul Badriyah</dc:creator>
  <dc:title>Restful-Booker API test cases</dc:title>
  <dc:subject/>
  <dc:description/>
  <cp:keywords/>
  <cp:category/>
  <cp:lastModifiedBy>Unknown</cp:lastModifiedBy>
  <dcterms:created xsi:type="dcterms:W3CDTF">2026-10-19T02:51:23Z</dcterms:created>
  <dcterms:modified xsi:type="dcterms:W3CDTF">2026-10-19T02:51:23Z</dcterms:modified>
</cp:coreProperties>
</file>